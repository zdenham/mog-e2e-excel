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del" state="visible" r:id="rId5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<sst xmlns="http://schemas.openxmlformats.org/spreadsheetml/2006/main" count="8" uniqueCount="8">
  <si>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</si>
  <si>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</si>
  <si>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Base revenue</t>
  </si>
  <si>
    <t>Growth</t>
  </si>
  <si>
    <t>Tax rate</t>
  </si>
  <si>
    <t>Year</t>
  </si>
  <si>
    <t>Revenue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</si>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</sst>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2" max="2" width="9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500000</v>
      </c>
    </row>
    <row r="3" spans="1:2" x14ac:dyDescent="0.25">
      <c r="A3" t="s">
        <v>3</v>
      </c>
      <c r="B3" s="1">
        <v>0.12</v>
      </c>
    </row>
    <row r="4" spans="1:2" x14ac:dyDescent="0.25">
      <c r="A4" t="s">
        <v>4</v>
      </c>
      <c r="B4" s="1">
        <v>0.21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2" max="2" width="9" style="2" customWidth="1"/>
    <col min="3" max="3" width="9" style="2" customWidth="1"/>
  </cols>
  <sheetData>
    <row r="1" spans="1:3" x14ac:dyDescent="0.25">
      <c r="A1" t="s">
        <v>5</v>
      </c>
      <c r="B1" s="2" t="s">
        <v>6</v>
      </c>
      <c r="C1" s="2" t="s">
        <v>7</v>
      </c>
    </row>
    <row r="2" spans="1:3" x14ac:dyDescent="0.25">
      <c r="A2">
        <v>2026</v>
      </c>
      <c r="B2" s="2">
        <f>Assumptions!B2</f>
      </c>
      <c r="C2" s="2">
        <f>B2*Assumptions!B4</f>
      </c>
    </row>
    <row r="3" spans="1:3" x14ac:dyDescent="0.25">
      <c r="A3">
        <v>2027</v>
      </c>
      <c r="B3" s="2">
        <f>B2*(1+Assumptions!B3)</f>
      </c>
      <c r="C3" s="2">
        <f>B3*Assumptions!B4</f>
      </c>
    </row>
    <row r="4" spans="1:3" x14ac:dyDescent="0.25">
      <c r="A4">
        <v>2028</v>
      </c>
      <c r="B4" s="2">
        <f>B3*(1+Assumptions!B3)</f>
      </c>
      <c r="C4" s="2">
        <f>B4*Assumptions!B4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